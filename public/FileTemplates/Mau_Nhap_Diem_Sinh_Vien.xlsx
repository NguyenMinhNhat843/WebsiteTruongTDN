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7F38AF4-7DA2-40E9-9916-973FFC4E60F2}" xr6:coauthVersionLast="47" xr6:coauthVersionMax="47" xr10:uidLastSave="{00000000-0000-0000-0000-000000000000}"/>
  <bookViews>
    <workbookView xWindow="-108" yWindow="-108" windowWidth="23256" windowHeight="12456" xr2:uid="{FD7F5AC9-C86B-42C0-B7E6-3BC051E7B8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K2" i="1" s="1"/>
  <c r="H3" i="1"/>
  <c r="K3" i="1" s="1"/>
  <c r="H4" i="1"/>
  <c r="K4" i="1"/>
  <c r="H5" i="1"/>
  <c r="K5" i="1" s="1"/>
  <c r="H6" i="1"/>
  <c r="K6" i="1" s="1"/>
  <c r="H7" i="1"/>
  <c r="K7" i="1"/>
  <c r="H8" i="1"/>
  <c r="K8" i="1" s="1"/>
  <c r="H9" i="1"/>
  <c r="K9" i="1"/>
  <c r="H10" i="1"/>
  <c r="K10" i="1" s="1"/>
  <c r="H11" i="1"/>
  <c r="K11" i="1"/>
  <c r="H12" i="1"/>
  <c r="K12" i="1"/>
  <c r="H13" i="1"/>
  <c r="K13" i="1" s="1"/>
  <c r="H14" i="1"/>
  <c r="K14" i="1" s="1"/>
</calcChain>
</file>

<file path=xl/sharedStrings.xml><?xml version="1.0" encoding="utf-8"?>
<sst xmlns="http://schemas.openxmlformats.org/spreadsheetml/2006/main" count="39" uniqueCount="39">
  <si>
    <t>Nguyễn Quốc</t>
  </si>
  <si>
    <t>Anh</t>
  </si>
  <si>
    <t>Trần Thị</t>
  </si>
  <si>
    <t>Bình</t>
  </si>
  <si>
    <t>Phan Huy</t>
  </si>
  <si>
    <t>Chuẩn</t>
  </si>
  <si>
    <t>Nguyễn Minh</t>
  </si>
  <si>
    <t>Cường</t>
  </si>
  <si>
    <t>Phạm Thế</t>
  </si>
  <si>
    <t>Duy</t>
  </si>
  <si>
    <t>Phạm Minh</t>
  </si>
  <si>
    <t>Huy</t>
  </si>
  <si>
    <t>Trần Phương Bảo</t>
  </si>
  <si>
    <t>Linh</t>
  </si>
  <si>
    <t>Võ Tấn</t>
  </si>
  <si>
    <t>Lộc</t>
  </si>
  <si>
    <t>Bùi Thị Kiều</t>
  </si>
  <si>
    <t>My</t>
  </si>
  <si>
    <t>Nguyễn Thanh</t>
  </si>
  <si>
    <t>Nhàn</t>
  </si>
  <si>
    <t>Nguyễn Hoàng Ngọc</t>
  </si>
  <si>
    <t>Nhiên</t>
  </si>
  <si>
    <t>Ngô Tấn</t>
  </si>
  <si>
    <t>Phong</t>
  </si>
  <si>
    <t>Trần Anh</t>
  </si>
  <si>
    <t>Sơn</t>
  </si>
  <si>
    <t>STT</t>
  </si>
  <si>
    <t>Họ</t>
  </si>
  <si>
    <t>Tên</t>
  </si>
  <si>
    <t>Ngày sinh</t>
  </si>
  <si>
    <t>Điểm thường xuyên</t>
  </si>
  <si>
    <t>KT DK 1</t>
  </si>
  <si>
    <t>KT DK 2</t>
  </si>
  <si>
    <t>Kết thúc 1</t>
  </si>
  <si>
    <t>Kết thúc 2</t>
  </si>
  <si>
    <t>TB</t>
  </si>
  <si>
    <t>Tỏng kết 1</t>
  </si>
  <si>
    <t>Tổng kết 2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</si>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</sst>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charset val="163"/>
      <scheme val="minor"/>
    </font>
    <font>
      <sz val="14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E569-90A3-4399-BDF5-C5BEBAB43D83}">
  <dimension ref="A1:M14"/>
  <sheetViews>
    <sheetView tabSelected="1" workbookViewId="0">
      <selection activeCell="M7" sqref="M7"/>
    </sheetView>
  </sheetViews>
  <sheetFormatPr defaultRowHeight="14.4" x14ac:dyDescent="0.3"/>
  <cols>
    <col min="2" max="2" width="24.109375" customWidth="1"/>
    <col min="3" max="3" width="24.77734375" customWidth="1"/>
    <col min="4" max="4" width="18.21875" customWidth="1"/>
    <col min="5" max="5" width="25.88671875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35</v>
      </c>
      <c r="I1" t="s">
        <v>33</v>
      </c>
      <c r="J1" t="s">
        <v>34</v>
      </c>
      <c r="K1" t="s">
        <v>36</v>
      </c>
      <c r="L1" t="s">
        <v>37</v>
      </c>
      <c r="M1" t="s">
        <v>38</v>
      </c>
    </row>
    <row r="2" spans="1:13" ht="36" x14ac:dyDescent="0.35">
      <c r="A2" s="1">
        <v>1</v>
      </c>
      <c r="B2" s="2" t="s">
        <v>0</v>
      </c>
      <c r="C2" s="3" t="s">
        <v>1</v>
      </c>
      <c r="D2" s="4">
        <v>38890</v>
      </c>
      <c r="E2" s="5">
        <v>8</v>
      </c>
      <c r="F2" s="5">
        <v>7</v>
      </c>
      <c r="G2" s="5">
        <v>8</v>
      </c>
      <c r="H2" s="5">
        <f>ROUND((E2+F2*2+G2*2)/5,1)</f>
        <v>7.6</v>
      </c>
      <c r="I2" s="6">
        <v>7</v>
      </c>
      <c r="J2" s="5"/>
      <c r="K2" s="5">
        <f>ROUND((H2*40%+I2*60%),1)</f>
        <v>7.2</v>
      </c>
      <c r="L2" s="7"/>
      <c r="M2" s="7"/>
    </row>
    <row r="3" spans="1:13" ht="18" x14ac:dyDescent="0.35">
      <c r="A3" s="1">
        <v>2</v>
      </c>
      <c r="B3" s="8" t="s">
        <v>2</v>
      </c>
      <c r="C3" s="3" t="s">
        <v>3</v>
      </c>
      <c r="D3" s="4">
        <v>38891</v>
      </c>
      <c r="E3" s="5">
        <v>7.5</v>
      </c>
      <c r="F3" s="5">
        <v>7.5</v>
      </c>
      <c r="G3" s="5">
        <v>7</v>
      </c>
      <c r="H3" s="5">
        <f t="shared" ref="H3:H14" si="0">ROUND((E3+F3*2+G3*2)/5,1)</f>
        <v>7.3</v>
      </c>
      <c r="I3" s="6">
        <v>6</v>
      </c>
      <c r="J3" s="5"/>
      <c r="K3" s="5">
        <f t="shared" ref="K3:K14" si="1">ROUND((H3*40%+I3*60%),1)</f>
        <v>6.5</v>
      </c>
      <c r="L3" s="7"/>
      <c r="M3" s="7"/>
    </row>
    <row r="4" spans="1:13" ht="18" x14ac:dyDescent="0.35">
      <c r="A4" s="1">
        <v>3</v>
      </c>
      <c r="B4" s="8" t="s">
        <v>4</v>
      </c>
      <c r="C4" s="3" t="s">
        <v>5</v>
      </c>
      <c r="D4" s="4">
        <v>38892</v>
      </c>
      <c r="E4" s="5">
        <v>7.5</v>
      </c>
      <c r="F4" s="5">
        <v>7</v>
      </c>
      <c r="G4" s="5">
        <v>7.5</v>
      </c>
      <c r="H4" s="5">
        <f t="shared" si="0"/>
        <v>7.3</v>
      </c>
      <c r="I4" s="6">
        <v>6</v>
      </c>
      <c r="J4" s="5"/>
      <c r="K4" s="5">
        <f t="shared" si="1"/>
        <v>6.5</v>
      </c>
      <c r="L4" s="7"/>
      <c r="M4" s="7"/>
    </row>
    <row r="5" spans="1:13" ht="36" x14ac:dyDescent="0.35">
      <c r="A5" s="1">
        <v>4</v>
      </c>
      <c r="B5" s="2" t="s">
        <v>6</v>
      </c>
      <c r="C5" s="3" t="s">
        <v>7</v>
      </c>
      <c r="D5" s="4">
        <v>38893</v>
      </c>
      <c r="E5" s="5">
        <v>7</v>
      </c>
      <c r="F5" s="5">
        <v>7</v>
      </c>
      <c r="G5" s="5">
        <v>7.5</v>
      </c>
      <c r="H5" s="5">
        <f t="shared" si="0"/>
        <v>7.2</v>
      </c>
      <c r="I5" s="6">
        <v>5.5</v>
      </c>
      <c r="J5" s="5"/>
      <c r="K5" s="5">
        <f t="shared" si="1"/>
        <v>6.2</v>
      </c>
      <c r="L5" s="7"/>
      <c r="M5" s="7"/>
    </row>
    <row r="6" spans="1:13" ht="18" x14ac:dyDescent="0.35">
      <c r="A6" s="1">
        <v>5</v>
      </c>
      <c r="B6" s="9" t="s">
        <v>8</v>
      </c>
      <c r="C6" s="10" t="s">
        <v>9</v>
      </c>
      <c r="D6" s="4">
        <v>38894</v>
      </c>
      <c r="E6" s="5">
        <v>7.5</v>
      </c>
      <c r="F6" s="5">
        <v>7</v>
      </c>
      <c r="G6" s="5">
        <v>7.5</v>
      </c>
      <c r="H6" s="5">
        <f t="shared" si="0"/>
        <v>7.3</v>
      </c>
      <c r="I6" s="6">
        <v>6.5</v>
      </c>
      <c r="J6" s="5"/>
      <c r="K6" s="5">
        <f t="shared" si="1"/>
        <v>6.8</v>
      </c>
      <c r="L6" s="7"/>
      <c r="M6" s="7"/>
    </row>
    <row r="7" spans="1:13" ht="18" x14ac:dyDescent="0.35">
      <c r="A7" s="1">
        <v>6</v>
      </c>
      <c r="B7" s="9" t="s">
        <v>10</v>
      </c>
      <c r="C7" s="10" t="s">
        <v>11</v>
      </c>
      <c r="D7" s="4">
        <v>38895</v>
      </c>
      <c r="E7" s="5">
        <v>7.5</v>
      </c>
      <c r="F7" s="5">
        <v>7</v>
      </c>
      <c r="G7" s="5">
        <v>7.5</v>
      </c>
      <c r="H7" s="5">
        <f t="shared" si="0"/>
        <v>7.3</v>
      </c>
      <c r="I7" s="6">
        <v>7</v>
      </c>
      <c r="J7" s="5"/>
      <c r="K7" s="5">
        <f t="shared" si="1"/>
        <v>7.1</v>
      </c>
      <c r="L7" s="7"/>
      <c r="M7" s="7"/>
    </row>
    <row r="8" spans="1:13" ht="18" x14ac:dyDescent="0.35">
      <c r="A8" s="1">
        <v>7</v>
      </c>
      <c r="B8" s="9" t="s">
        <v>12</v>
      </c>
      <c r="C8" s="10" t="s">
        <v>13</v>
      </c>
      <c r="D8" s="4">
        <v>38896</v>
      </c>
      <c r="E8" s="5">
        <v>7</v>
      </c>
      <c r="F8" s="5">
        <v>7</v>
      </c>
      <c r="G8" s="5">
        <v>7.5</v>
      </c>
      <c r="H8" s="5">
        <f t="shared" si="0"/>
        <v>7.2</v>
      </c>
      <c r="I8" s="6">
        <v>5</v>
      </c>
      <c r="J8" s="5"/>
      <c r="K8" s="5">
        <f t="shared" si="1"/>
        <v>5.9</v>
      </c>
      <c r="L8" s="7"/>
      <c r="M8" s="7"/>
    </row>
    <row r="9" spans="1:13" ht="18" x14ac:dyDescent="0.35">
      <c r="A9" s="1">
        <v>8</v>
      </c>
      <c r="B9" s="11" t="s">
        <v>14</v>
      </c>
      <c r="C9" s="10" t="s">
        <v>15</v>
      </c>
      <c r="D9" s="4">
        <v>38897</v>
      </c>
      <c r="E9" s="5">
        <v>7.5</v>
      </c>
      <c r="F9" s="5">
        <v>7</v>
      </c>
      <c r="G9" s="5">
        <v>7</v>
      </c>
      <c r="H9" s="5">
        <f t="shared" si="0"/>
        <v>7.1</v>
      </c>
      <c r="I9" s="6">
        <v>5.5</v>
      </c>
      <c r="J9" s="5"/>
      <c r="K9" s="5">
        <f t="shared" si="1"/>
        <v>6.1</v>
      </c>
      <c r="L9" s="7"/>
      <c r="M9" s="7"/>
    </row>
    <row r="10" spans="1:13" ht="18" x14ac:dyDescent="0.35">
      <c r="A10" s="1">
        <v>9</v>
      </c>
      <c r="B10" s="8" t="s">
        <v>16</v>
      </c>
      <c r="C10" s="3" t="s">
        <v>17</v>
      </c>
      <c r="D10" s="4">
        <v>38898</v>
      </c>
      <c r="E10" s="5">
        <v>8</v>
      </c>
      <c r="F10" s="5">
        <v>7</v>
      </c>
      <c r="G10" s="5">
        <v>7.5</v>
      </c>
      <c r="H10" s="5">
        <f t="shared" si="0"/>
        <v>7.4</v>
      </c>
      <c r="I10" s="6">
        <v>6.5</v>
      </c>
      <c r="J10" s="5"/>
      <c r="K10" s="5">
        <f t="shared" si="1"/>
        <v>6.9</v>
      </c>
      <c r="L10" s="7"/>
      <c r="M10" s="7"/>
    </row>
    <row r="11" spans="1:13" ht="18" x14ac:dyDescent="0.35">
      <c r="A11" s="1">
        <v>10</v>
      </c>
      <c r="B11" s="8" t="s">
        <v>18</v>
      </c>
      <c r="C11" s="3" t="s">
        <v>19</v>
      </c>
      <c r="D11" s="4">
        <v>38899</v>
      </c>
      <c r="E11" s="5">
        <v>7</v>
      </c>
      <c r="F11" s="5">
        <v>7</v>
      </c>
      <c r="G11" s="5">
        <v>7.5</v>
      </c>
      <c r="H11" s="5">
        <f t="shared" si="0"/>
        <v>7.2</v>
      </c>
      <c r="I11" s="6">
        <v>7.5</v>
      </c>
      <c r="J11" s="5"/>
      <c r="K11" s="5">
        <f t="shared" si="1"/>
        <v>7.4</v>
      </c>
      <c r="L11" s="7"/>
      <c r="M11" s="7"/>
    </row>
    <row r="12" spans="1:13" ht="72" x14ac:dyDescent="0.35">
      <c r="A12" s="1">
        <v>11</v>
      </c>
      <c r="B12" s="12" t="s">
        <v>20</v>
      </c>
      <c r="C12" s="3" t="s">
        <v>21</v>
      </c>
      <c r="D12" s="4">
        <v>38900</v>
      </c>
      <c r="E12" s="5">
        <v>8</v>
      </c>
      <c r="F12" s="5">
        <v>7</v>
      </c>
      <c r="G12" s="5">
        <v>7</v>
      </c>
      <c r="H12" s="5">
        <f t="shared" si="0"/>
        <v>7.2</v>
      </c>
      <c r="I12" s="6">
        <v>5.5</v>
      </c>
      <c r="J12" s="5"/>
      <c r="K12" s="5">
        <f t="shared" si="1"/>
        <v>6.2</v>
      </c>
      <c r="L12" s="7"/>
      <c r="M12" s="7"/>
    </row>
    <row r="13" spans="1:13" ht="18" x14ac:dyDescent="0.35">
      <c r="A13" s="1">
        <v>12</v>
      </c>
      <c r="B13" s="8" t="s">
        <v>22</v>
      </c>
      <c r="C13" s="3" t="s">
        <v>23</v>
      </c>
      <c r="D13" s="4">
        <v>38901</v>
      </c>
      <c r="E13" s="5">
        <v>7</v>
      </c>
      <c r="F13" s="5">
        <v>7</v>
      </c>
      <c r="G13" s="5">
        <v>7.5</v>
      </c>
      <c r="H13" s="5">
        <f t="shared" si="0"/>
        <v>7.2</v>
      </c>
      <c r="I13" s="6">
        <v>9</v>
      </c>
      <c r="J13" s="5"/>
      <c r="K13" s="5">
        <f t="shared" si="1"/>
        <v>8.3000000000000007</v>
      </c>
      <c r="L13" s="7"/>
      <c r="M13" s="7"/>
    </row>
    <row r="14" spans="1:13" ht="18" x14ac:dyDescent="0.35">
      <c r="A14" s="1">
        <v>13</v>
      </c>
      <c r="B14" s="8" t="s">
        <v>24</v>
      </c>
      <c r="C14" s="3" t="s">
        <v>25</v>
      </c>
      <c r="D14" s="4">
        <v>38902</v>
      </c>
      <c r="E14" s="5">
        <v>8</v>
      </c>
      <c r="F14" s="5">
        <v>7</v>
      </c>
      <c r="G14" s="5">
        <v>7.5</v>
      </c>
      <c r="H14" s="5">
        <f t="shared" si="0"/>
        <v>7.4</v>
      </c>
      <c r="I14" s="6">
        <v>6</v>
      </c>
      <c r="J14" s="5"/>
      <c r="K14" s="5">
        <f t="shared" si="1"/>
        <v>6.6</v>
      </c>
      <c r="L14" s="7"/>
      <c r="M1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Nhật</dc:creator>
  <cp:lastModifiedBy>Nguyễn Minh Nhật</cp:lastModifiedBy>
  <dcterms:created xsi:type="dcterms:W3CDTF">2026-04-16T02:11:00Z</dcterms:created>
  <dcterms:modified xsi:type="dcterms:W3CDTF">2026-04-16T02:13:16Z</dcterms:modified>
</cp:coreProperties>
</file>